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AnChuyenNganh_K22_DCT122C5\Week_2\"/>
    </mc:Choice>
  </mc:AlternateContent>
  <xr:revisionPtr revIDLastSave="0" documentId="8_{A3851775-B914-4000-8EDA-1A606D72443F}" xr6:coauthVersionLast="47" xr6:coauthVersionMax="47" xr10:uidLastSave="{00000000-0000-0000-0000-000000000000}"/>
  <bookViews>
    <workbookView xWindow="-110" yWindow="-110" windowWidth="19420" windowHeight="10300" activeTab="1" xr2:uid="{17E3FD3F-56A2-4092-A435-132CD30B43D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2" l="1"/>
  <c r="C16" i="2"/>
  <c r="B16" i="2"/>
  <c r="F9" i="2" a="1"/>
  <c r="F9" i="2" s="1"/>
  <c r="E13" i="2"/>
  <c r="E10" i="2"/>
  <c r="E11" i="2"/>
  <c r="E12" i="2"/>
  <c r="E9" i="2"/>
  <c r="D13" i="2"/>
  <c r="D10" i="2"/>
  <c r="D11" i="2"/>
  <c r="D12" i="2"/>
  <c r="D9" i="2"/>
  <c r="C10" i="2"/>
  <c r="C11" i="2"/>
  <c r="C12" i="2"/>
  <c r="C9" i="2"/>
  <c r="B10" i="2"/>
  <c r="B11" i="2"/>
  <c r="B12" i="2"/>
  <c r="B9" i="2"/>
  <c r="P8" i="1"/>
  <c r="Q8" i="1"/>
  <c r="P9" i="1"/>
  <c r="Q9" i="1"/>
  <c r="P10" i="1"/>
  <c r="Q10" i="1"/>
  <c r="O9" i="1"/>
  <c r="O10" i="1"/>
  <c r="O8" i="1"/>
  <c r="N9" i="1"/>
  <c r="N10" i="1"/>
  <c r="N8" i="1"/>
  <c r="M8" i="1" a="1"/>
  <c r="M8" i="1" s="1"/>
  <c r="L8" i="1" a="1"/>
  <c r="L8" i="1" s="1"/>
  <c r="K8" i="1" a="1"/>
  <c r="K8" i="1" s="1"/>
  <c r="J8" i="1" a="1"/>
  <c r="J8" i="1" s="1"/>
  <c r="A6" i="1"/>
  <c r="A21" i="1"/>
  <c r="A20" i="1"/>
  <c r="H10" i="1" a="1"/>
  <c r="H10" i="1" s="1"/>
  <c r="H9" i="1" a="1"/>
  <c r="H9" i="1" s="1"/>
  <c r="H8" i="1" a="1"/>
  <c r="H8" i="1" s="1"/>
  <c r="F10" i="1" a="1"/>
  <c r="F10" i="1" s="1"/>
  <c r="F9" i="1" a="1"/>
  <c r="F9" i="1" s="1"/>
  <c r="F8" i="1" a="1"/>
  <c r="F8" i="1" s="1"/>
  <c r="D10" i="1" a="1"/>
  <c r="D10" i="1" s="1"/>
  <c r="D9" i="1" a="1"/>
  <c r="D9" i="1" s="1"/>
  <c r="D8" i="1" a="1"/>
  <c r="D8" i="1" s="1"/>
  <c r="B10" i="1" a="1"/>
  <c r="B10" i="1" s="1"/>
  <c r="B9" i="1" a="1"/>
  <c r="B9" i="1" s="1"/>
  <c r="B8" i="1" a="1"/>
  <c r="B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<sst xmlns="http://schemas.openxmlformats.org/spreadsheetml/2006/main" count="97" uniqueCount="48">
  <si>
    <t>Q</t>
  </si>
  <si>
    <t>K</t>
  </si>
  <si>
    <t>V</t>
  </si>
  <si>
    <t>A</t>
  </si>
  <si>
    <t>B</t>
  </si>
  <si>
    <t>C</t>
  </si>
  <si>
    <t>D</t>
  </si>
  <si>
    <t>Q.K^T</t>
  </si>
  <si>
    <t>A.B</t>
  </si>
  <si>
    <t>A.C</t>
  </si>
  <si>
    <t>A.D</t>
  </si>
  <si>
    <t>B.A</t>
  </si>
  <si>
    <t>B.C</t>
  </si>
  <si>
    <t>B.D</t>
  </si>
  <si>
    <t>C.A</t>
  </si>
  <si>
    <t>C.B</t>
  </si>
  <si>
    <t>C.D</t>
  </si>
  <si>
    <t>D.A</t>
  </si>
  <si>
    <t>D.B</t>
  </si>
  <si>
    <t>D.C</t>
  </si>
  <si>
    <t>E</t>
  </si>
  <si>
    <t>F</t>
  </si>
  <si>
    <t>G</t>
  </si>
  <si>
    <t>H</t>
  </si>
  <si>
    <t>I</t>
  </si>
  <si>
    <t>J</t>
  </si>
  <si>
    <t>Từ</t>
  </si>
  <si>
    <t>Query (Q)</t>
  </si>
  <si>
    <t>Key (K)</t>
  </si>
  <si>
    <t>Value (V)</t>
  </si>
  <si>
    <t>Q1</t>
  </si>
  <si>
    <t>Q2</t>
  </si>
  <si>
    <t>Q3</t>
  </si>
  <si>
    <t>K1</t>
  </si>
  <si>
    <t>K2</t>
  </si>
  <si>
    <t>K3</t>
  </si>
  <si>
    <t>V1</t>
  </si>
  <si>
    <t>V2</t>
  </si>
  <si>
    <t>V3</t>
  </si>
  <si>
    <t>EXP(A)</t>
  </si>
  <si>
    <t>EXP(B)</t>
  </si>
  <si>
    <t>EXP(D)</t>
  </si>
  <si>
    <t>EXP(C)</t>
  </si>
  <si>
    <t>Key</t>
  </si>
  <si>
    <t>Score</t>
  </si>
  <si>
    <t>EXP</t>
  </si>
  <si>
    <t>Softmax (Weight)</t>
  </si>
  <si>
    <t>Kết quả Vector Z_A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</si>
</sst>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2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104B-D482-4766-A028-FFB17BBFF073}">
  <dimension ref="A1:Q21"/>
  <sheetViews>
    <sheetView topLeftCell="A2" workbookViewId="0">
      <selection activeCell="N8" sqref="N8"/>
    </sheetView>
  </sheetViews>
  <sheetFormatPr defaultRowHeight="14.5" x14ac:dyDescent="0.35"/>
  <sheetData>
    <row r="1" spans="1:17" x14ac:dyDescent="0.35"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</row>
    <row r="2" spans="1:17" x14ac:dyDescent="0.35">
      <c r="A2" t="s">
        <v>3</v>
      </c>
      <c r="B2">
        <v>1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>
        <v>2</v>
      </c>
    </row>
    <row r="3" spans="1:17" x14ac:dyDescent="0.35">
      <c r="A3" t="s">
        <v>4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2</v>
      </c>
      <c r="J3">
        <v>1</v>
      </c>
    </row>
    <row r="4" spans="1:17" x14ac:dyDescent="0.35">
      <c r="A4" t="s">
        <v>5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2</v>
      </c>
      <c r="I4">
        <v>1</v>
      </c>
      <c r="J4">
        <v>0</v>
      </c>
    </row>
    <row r="5" spans="1:17" x14ac:dyDescent="0.35">
      <c r="A5" t="s">
        <v>6</v>
      </c>
      <c r="B5">
        <v>0</v>
      </c>
      <c r="C5">
        <v>0</v>
      </c>
      <c r="D5">
        <v>1</v>
      </c>
      <c r="E5">
        <v>1</v>
      </c>
      <c r="F5">
        <v>1</v>
      </c>
      <c r="G5">
        <v>0</v>
      </c>
      <c r="H5">
        <v>1</v>
      </c>
      <c r="I5">
        <v>2</v>
      </c>
      <c r="J5">
        <v>3</v>
      </c>
    </row>
    <row r="6" spans="1:17" x14ac:dyDescent="0.35">
      <c r="A6">
        <f>SQRT(3)</f>
        <v>1.7320508075688772</v>
      </c>
    </row>
    <row r="7" spans="1:17" x14ac:dyDescent="0.35">
      <c r="B7" t="s">
        <v>7</v>
      </c>
      <c r="D7" t="s">
        <v>7</v>
      </c>
      <c r="F7" t="s">
        <v>7</v>
      </c>
      <c r="H7" t="s">
        <v>7</v>
      </c>
      <c r="J7" t="s">
        <v>3</v>
      </c>
      <c r="K7" t="s">
        <v>4</v>
      </c>
      <c r="L7" t="s">
        <v>5</v>
      </c>
      <c r="M7" t="s">
        <v>6</v>
      </c>
      <c r="N7" t="s">
        <v>39</v>
      </c>
      <c r="O7" t="s">
        <v>40</v>
      </c>
      <c r="P7" t="s">
        <v>42</v>
      </c>
      <c r="Q7" t="s">
        <v>41</v>
      </c>
    </row>
    <row r="8" spans="1:17" x14ac:dyDescent="0.35">
      <c r="A8" t="s">
        <v>8</v>
      </c>
      <c r="B8" cm="1">
        <f t="array" ref="B8">MMULT(B2:D2,TRANSPOSE(E3:G3))</f>
        <v>2</v>
      </c>
      <c r="C8" t="s">
        <v>11</v>
      </c>
      <c r="D8" cm="1">
        <f t="array" ref="D8">MMULT(B3:D3,TRANSPOSE(E2:G2))</f>
        <v>1</v>
      </c>
      <c r="E8" t="s">
        <v>14</v>
      </c>
      <c r="F8" cm="1">
        <f t="array" ref="F8">MMULT(B4:D4,TRANSPOSE(E2:G2))</f>
        <v>1</v>
      </c>
      <c r="G8" t="s">
        <v>17</v>
      </c>
      <c r="H8" cm="1">
        <f t="array" ref="H8">MMULT(B5:D5,TRANSPOSE(E2:G2))</f>
        <v>0</v>
      </c>
      <c r="J8" cm="1">
        <f t="array" ref="J8:J10">B8:B10/A6</f>
        <v>1.1547005383792517</v>
      </c>
      <c r="K8" cm="1">
        <f t="array" ref="K8:K10">D8:D10/A6</f>
        <v>0.57735026918962584</v>
      </c>
      <c r="L8" cm="1">
        <f t="array" ref="L8:L10">F8:F10/A6</f>
        <v>0.57735026918962584</v>
      </c>
      <c r="M8" cm="1">
        <f t="array" ref="M8:M10">H8:H10/A6</f>
        <v>0</v>
      </c>
      <c r="N8">
        <f>EXP(J8)</f>
        <v>3.1730730616353542</v>
      </c>
      <c r="O8">
        <f>EXP(K8)</f>
        <v>1.7813121741108027</v>
      </c>
      <c r="P8">
        <f t="shared" ref="P8:Q10" si="0">EXP(L8)</f>
        <v>1.7813121741108027</v>
      </c>
      <c r="Q8">
        <f t="shared" si="0"/>
        <v>1</v>
      </c>
    </row>
    <row r="9" spans="1:17" x14ac:dyDescent="0.35">
      <c r="A9" t="s">
        <v>9</v>
      </c>
      <c r="B9" cm="1">
        <f t="array" ref="B9">MMULT(B2:D2,TRANSPOSE(E4:G4))</f>
        <v>1</v>
      </c>
      <c r="C9" t="s">
        <v>12</v>
      </c>
      <c r="D9" cm="1">
        <f t="array" ref="D9">MMULT(B3:D3,TRANSPOSE(E4:G4))</f>
        <v>0</v>
      </c>
      <c r="E9" t="s">
        <v>15</v>
      </c>
      <c r="F9" cm="1">
        <f t="array" ref="F9">MMULT(B4:D4,TRANSPOSE(E3:G3))</f>
        <v>1</v>
      </c>
      <c r="G9" t="s">
        <v>18</v>
      </c>
      <c r="H9" cm="1">
        <f t="array" ref="H9">MMULT(B5:D5,TRANSPOSE(E3:G3))</f>
        <v>1</v>
      </c>
      <c r="J9">
        <v>0.57735026918962584</v>
      </c>
      <c r="K9">
        <v>0</v>
      </c>
      <c r="L9">
        <v>0.57735026918962584</v>
      </c>
      <c r="M9">
        <v>0.57735026918962584</v>
      </c>
      <c r="N9">
        <f t="shared" ref="N9:N10" si="1">EXP(J9)</f>
        <v>1.7813121741108027</v>
      </c>
      <c r="O9">
        <f t="shared" ref="O9:O10" si="2">EXP(K9)</f>
        <v>1</v>
      </c>
      <c r="P9">
        <f t="shared" si="0"/>
        <v>1.7813121741108027</v>
      </c>
      <c r="Q9">
        <f t="shared" si="0"/>
        <v>1.7813121741108027</v>
      </c>
    </row>
    <row r="10" spans="1:17" x14ac:dyDescent="0.35">
      <c r="A10" t="s">
        <v>10</v>
      </c>
      <c r="B10" cm="1">
        <f t="array" ref="B10">MMULT(B2:D2,TRANSPOSE(E5:G5))</f>
        <v>1</v>
      </c>
      <c r="C10" t="s">
        <v>13</v>
      </c>
      <c r="D10" cm="1">
        <f t="array" ref="D10">MMULT(B3:D3,TRANSPOSE(E5:G5))</f>
        <v>1</v>
      </c>
      <c r="E10" t="s">
        <v>16</v>
      </c>
      <c r="F10" cm="1">
        <f t="array" ref="F10">MMULT(B4:D4,TRANSPOSE(E5:G5))</f>
        <v>2</v>
      </c>
      <c r="G10" t="s">
        <v>19</v>
      </c>
      <c r="H10" cm="1">
        <f t="array" ref="H10">MMULT(B5:D5,TRANSPOSE(E4:G4))</f>
        <v>1</v>
      </c>
      <c r="J10">
        <v>0.57735026918962584</v>
      </c>
      <c r="K10">
        <v>0.57735026918962584</v>
      </c>
      <c r="L10">
        <v>1.1547005383792517</v>
      </c>
      <c r="M10">
        <v>0.57735026918962584</v>
      </c>
      <c r="N10">
        <f t="shared" si="1"/>
        <v>1.7813121741108027</v>
      </c>
      <c r="O10">
        <f t="shared" si="2"/>
        <v>1.7813121741108027</v>
      </c>
      <c r="P10">
        <f t="shared" si="0"/>
        <v>3.1730730616353542</v>
      </c>
      <c r="Q10">
        <f t="shared" si="0"/>
        <v>1.7813121741108027</v>
      </c>
    </row>
    <row r="11" spans="1:17" ht="15" thickBot="1" x14ac:dyDescent="0.4"/>
    <row r="12" spans="1:17" ht="15" thickBot="1" x14ac:dyDescent="0.4">
      <c r="A12" s="3"/>
      <c r="B12" s="3" t="s">
        <v>3</v>
      </c>
      <c r="C12" s="3" t="s">
        <v>4</v>
      </c>
      <c r="D12" s="3" t="s">
        <v>5</v>
      </c>
      <c r="E12" s="3" t="s">
        <v>6</v>
      </c>
      <c r="F12" s="3" t="s">
        <v>20</v>
      </c>
      <c r="G12" s="3" t="s">
        <v>21</v>
      </c>
      <c r="H12" s="3" t="s">
        <v>22</v>
      </c>
      <c r="I12" s="3" t="s">
        <v>23</v>
      </c>
      <c r="J12" s="3" t="s">
        <v>24</v>
      </c>
      <c r="K12" s="3" t="s">
        <v>25</v>
      </c>
    </row>
    <row r="13" spans="1:17" ht="28.5" thickBot="1" x14ac:dyDescent="0.4">
      <c r="A13" s="3">
        <v>1</v>
      </c>
      <c r="B13" s="3" t="s">
        <v>26</v>
      </c>
      <c r="C13" s="3" t="s">
        <v>27</v>
      </c>
      <c r="D13" s="2"/>
      <c r="E13" s="2"/>
      <c r="F13" s="3" t="s">
        <v>28</v>
      </c>
      <c r="G13" s="2"/>
      <c r="H13" s="2"/>
      <c r="I13" s="3" t="s">
        <v>29</v>
      </c>
      <c r="J13" s="2"/>
      <c r="K13" s="2"/>
    </row>
    <row r="14" spans="1:17" ht="15" thickBot="1" x14ac:dyDescent="0.4">
      <c r="A14" s="3">
        <v>2</v>
      </c>
      <c r="B14" s="2"/>
      <c r="C14" s="2" t="s">
        <v>30</v>
      </c>
      <c r="D14" s="2" t="s">
        <v>31</v>
      </c>
      <c r="E14" s="2" t="s">
        <v>32</v>
      </c>
      <c r="F14" s="2" t="s">
        <v>33</v>
      </c>
      <c r="G14" s="2" t="s">
        <v>34</v>
      </c>
      <c r="H14" s="2" t="s">
        <v>35</v>
      </c>
      <c r="I14" s="2" t="s">
        <v>36</v>
      </c>
      <c r="J14" s="2" t="s">
        <v>37</v>
      </c>
      <c r="K14" s="2" t="s">
        <v>38</v>
      </c>
    </row>
    <row r="15" spans="1:17" ht="15" thickBot="1" x14ac:dyDescent="0.4">
      <c r="A15" s="3">
        <v>3</v>
      </c>
      <c r="B15" s="3" t="s">
        <v>3</v>
      </c>
      <c r="C15" s="2">
        <v>1</v>
      </c>
      <c r="D15" s="2">
        <v>0</v>
      </c>
      <c r="E15" s="2">
        <v>1</v>
      </c>
      <c r="F15" s="2">
        <v>0</v>
      </c>
      <c r="G15" s="2">
        <v>1</v>
      </c>
      <c r="H15" s="2">
        <v>0</v>
      </c>
      <c r="I15" s="2">
        <v>1</v>
      </c>
      <c r="J15" s="2">
        <v>0</v>
      </c>
      <c r="K15" s="2">
        <v>2</v>
      </c>
    </row>
    <row r="16" spans="1:17" ht="15" thickBot="1" x14ac:dyDescent="0.4">
      <c r="A16" s="3">
        <v>4</v>
      </c>
      <c r="B16" s="3" t="s">
        <v>4</v>
      </c>
      <c r="C16" s="2">
        <v>0</v>
      </c>
      <c r="D16" s="2">
        <v>1</v>
      </c>
      <c r="E16" s="2">
        <v>0</v>
      </c>
      <c r="F16" s="2">
        <v>1</v>
      </c>
      <c r="G16" s="2">
        <v>0</v>
      </c>
      <c r="H16" s="2">
        <v>1</v>
      </c>
      <c r="I16" s="2">
        <v>0</v>
      </c>
      <c r="J16" s="2">
        <v>2</v>
      </c>
      <c r="K16" s="2">
        <v>1</v>
      </c>
    </row>
    <row r="17" spans="1:11" ht="15" thickBot="1" x14ac:dyDescent="0.4">
      <c r="A17" s="3">
        <v>5</v>
      </c>
      <c r="B17" s="3" t="s">
        <v>5</v>
      </c>
      <c r="C17" s="2">
        <v>1</v>
      </c>
      <c r="D17" s="2">
        <v>1</v>
      </c>
      <c r="E17" s="2">
        <v>0</v>
      </c>
      <c r="F17" s="2">
        <v>0</v>
      </c>
      <c r="G17" s="2">
        <v>0</v>
      </c>
      <c r="H17" s="2">
        <v>1</v>
      </c>
      <c r="I17" s="2">
        <v>2</v>
      </c>
      <c r="J17" s="2">
        <v>1</v>
      </c>
      <c r="K17" s="2">
        <v>0</v>
      </c>
    </row>
    <row r="18" spans="1:11" ht="15" thickBot="1" x14ac:dyDescent="0.4">
      <c r="A18" s="3">
        <v>6</v>
      </c>
      <c r="B18" s="3" t="s">
        <v>6</v>
      </c>
      <c r="C18" s="2">
        <v>0</v>
      </c>
      <c r="D18" s="2">
        <v>0</v>
      </c>
      <c r="E18" s="2">
        <v>1</v>
      </c>
      <c r="F18" s="2">
        <v>1</v>
      </c>
      <c r="G18" s="2">
        <v>1</v>
      </c>
      <c r="H18" s="2">
        <v>0</v>
      </c>
      <c r="I18" s="2">
        <v>1</v>
      </c>
      <c r="J18" s="2">
        <v>2</v>
      </c>
      <c r="K18" s="2">
        <v>3</v>
      </c>
    </row>
    <row r="20" spans="1:11" x14ac:dyDescent="0.35">
      <c r="A20">
        <f>SUMPRODUCT($C$15:$E$15, F16:H16)</f>
        <v>2</v>
      </c>
    </row>
    <row r="21" spans="1:11" x14ac:dyDescent="0.35">
      <c r="A21">
        <f>SUMPRODUCT($C$15:$E$15, F17:H17)</f>
        <v>1</v>
      </c>
    </row>
  </sheetData>
  <mergeCells count="3">
    <mergeCell ref="B1:D1"/>
    <mergeCell ref="E1:G1"/>
    <mergeCell ref="H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A685F-1DF6-4C08-912A-BFCD9C753F42}">
  <dimension ref="A1:K16"/>
  <sheetViews>
    <sheetView tabSelected="1" workbookViewId="0">
      <selection activeCell="I15" sqref="I15"/>
    </sheetView>
  </sheetViews>
  <sheetFormatPr defaultRowHeight="14.5" x14ac:dyDescent="0.35"/>
  <cols>
    <col min="1" max="1" width="17.08984375" customWidth="1"/>
  </cols>
  <sheetData>
    <row r="1" spans="1:11" ht="15" thickBot="1" x14ac:dyDescent="0.4">
      <c r="A1" s="3"/>
      <c r="B1" s="3" t="s">
        <v>3</v>
      </c>
      <c r="C1" s="3" t="s">
        <v>4</v>
      </c>
      <c r="D1" s="3" t="s">
        <v>5</v>
      </c>
      <c r="E1" s="3" t="s">
        <v>6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</row>
    <row r="2" spans="1:11" ht="28.5" thickBot="1" x14ac:dyDescent="0.4">
      <c r="A2" s="3">
        <v>1</v>
      </c>
      <c r="B2" s="3" t="s">
        <v>26</v>
      </c>
      <c r="C2" s="3" t="s">
        <v>27</v>
      </c>
      <c r="D2" s="2"/>
      <c r="E2" s="2"/>
      <c r="F2" s="3" t="s">
        <v>28</v>
      </c>
      <c r="G2" s="2"/>
      <c r="H2" s="2"/>
      <c r="I2" s="3" t="s">
        <v>29</v>
      </c>
      <c r="J2" s="2"/>
      <c r="K2" s="2"/>
    </row>
    <row r="3" spans="1:11" ht="15" thickBot="1" x14ac:dyDescent="0.4">
      <c r="A3" s="3">
        <v>2</v>
      </c>
      <c r="B3" s="2"/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</row>
    <row r="4" spans="1:11" ht="15" thickBot="1" x14ac:dyDescent="0.4">
      <c r="A4" s="3">
        <v>3</v>
      </c>
      <c r="B4" s="3" t="s">
        <v>3</v>
      </c>
      <c r="C4" s="2">
        <v>1</v>
      </c>
      <c r="D4" s="2">
        <v>0</v>
      </c>
      <c r="E4" s="2">
        <v>1</v>
      </c>
      <c r="F4" s="2">
        <v>0</v>
      </c>
      <c r="G4" s="2">
        <v>1</v>
      </c>
      <c r="H4" s="2">
        <v>0</v>
      </c>
      <c r="I4" s="2">
        <v>1</v>
      </c>
      <c r="J4" s="2">
        <v>0</v>
      </c>
      <c r="K4" s="2">
        <v>2</v>
      </c>
    </row>
    <row r="5" spans="1:11" ht="15" thickBot="1" x14ac:dyDescent="0.4">
      <c r="A5" s="3">
        <v>4</v>
      </c>
      <c r="B5" s="3" t="s">
        <v>4</v>
      </c>
      <c r="C5" s="2">
        <v>0</v>
      </c>
      <c r="D5" s="2">
        <v>1</v>
      </c>
      <c r="E5" s="2">
        <v>0</v>
      </c>
      <c r="F5" s="2">
        <v>1</v>
      </c>
      <c r="G5" s="2">
        <v>0</v>
      </c>
      <c r="H5" s="2">
        <v>1</v>
      </c>
      <c r="I5" s="2">
        <v>0</v>
      </c>
      <c r="J5" s="2">
        <v>2</v>
      </c>
      <c r="K5" s="2">
        <v>1</v>
      </c>
    </row>
    <row r="6" spans="1:11" ht="15" thickBot="1" x14ac:dyDescent="0.4">
      <c r="A6" s="3">
        <v>5</v>
      </c>
      <c r="B6" s="3" t="s">
        <v>5</v>
      </c>
      <c r="C6" s="2">
        <v>1</v>
      </c>
      <c r="D6" s="2">
        <v>1</v>
      </c>
      <c r="E6" s="2">
        <v>0</v>
      </c>
      <c r="F6" s="2">
        <v>0</v>
      </c>
      <c r="G6" s="2">
        <v>0</v>
      </c>
      <c r="H6" s="2">
        <v>1</v>
      </c>
      <c r="I6" s="2">
        <v>2</v>
      </c>
      <c r="J6" s="2">
        <v>1</v>
      </c>
      <c r="K6" s="2">
        <v>0</v>
      </c>
    </row>
    <row r="7" spans="1:11" ht="15" thickBot="1" x14ac:dyDescent="0.4">
      <c r="A7" s="3">
        <v>6</v>
      </c>
      <c r="B7" s="3" t="s">
        <v>6</v>
      </c>
      <c r="C7" s="2">
        <v>0</v>
      </c>
      <c r="D7" s="2">
        <v>0</v>
      </c>
      <c r="E7" s="2">
        <v>1</v>
      </c>
      <c r="F7" s="2">
        <v>1</v>
      </c>
      <c r="G7" s="2">
        <v>1</v>
      </c>
      <c r="H7" s="2">
        <v>0</v>
      </c>
      <c r="I7" s="2">
        <v>1</v>
      </c>
      <c r="J7" s="2">
        <v>2</v>
      </c>
      <c r="K7" s="2">
        <v>3</v>
      </c>
    </row>
    <row r="8" spans="1:11" x14ac:dyDescent="0.35">
      <c r="B8" s="4" t="s">
        <v>43</v>
      </c>
      <c r="C8" t="s">
        <v>44</v>
      </c>
      <c r="D8" t="s">
        <v>45</v>
      </c>
      <c r="E8" t="s">
        <v>46</v>
      </c>
    </row>
    <row r="9" spans="1:11" x14ac:dyDescent="0.35">
      <c r="A9" t="s">
        <v>3</v>
      </c>
      <c r="B9">
        <f>SUMPRODUCT($C$4:$E$4, F4:H4)</f>
        <v>0</v>
      </c>
      <c r="C9">
        <f>B9 / SQRT(3)</f>
        <v>0</v>
      </c>
      <c r="D9">
        <f>EXP(C9)</f>
        <v>1</v>
      </c>
      <c r="E9">
        <f>D9 / $D$13</f>
        <v>0.12927082679394655</v>
      </c>
      <c r="F9" cm="1">
        <f t="array" ref="F9:H9">E9*I4:K4</f>
        <v>0.12927082679394655</v>
      </c>
      <c r="G9">
        <v>0</v>
      </c>
      <c r="H9">
        <v>0.25854165358789311</v>
      </c>
    </row>
    <row r="10" spans="1:11" x14ac:dyDescent="0.35">
      <c r="A10" t="s">
        <v>4</v>
      </c>
      <c r="B10">
        <f t="shared" ref="B10:B12" si="0">SUMPRODUCT($C$4:$E$4, F5:H5)</f>
        <v>2</v>
      </c>
      <c r="C10">
        <f t="shared" ref="C10:C12" si="1">B10 / SQRT(3)</f>
        <v>1.1547005383792517</v>
      </c>
      <c r="D10">
        <f t="shared" ref="D10:D12" si="2">EXP(C10)</f>
        <v>3.1730730616353542</v>
      </c>
      <c r="E10">
        <f t="shared" ref="E10:E12" si="3">D10 / $D$13</f>
        <v>0.41018577815520152</v>
      </c>
    </row>
    <row r="11" spans="1:11" x14ac:dyDescent="0.35">
      <c r="A11" t="s">
        <v>5</v>
      </c>
      <c r="B11">
        <f t="shared" si="0"/>
        <v>1</v>
      </c>
      <c r="C11">
        <f t="shared" si="1"/>
        <v>0.57735026918962584</v>
      </c>
      <c r="D11">
        <f t="shared" si="2"/>
        <v>1.7813121741108027</v>
      </c>
      <c r="E11">
        <f t="shared" si="3"/>
        <v>0.23027169752542592</v>
      </c>
    </row>
    <row r="12" spans="1:11" x14ac:dyDescent="0.35">
      <c r="A12" t="s">
        <v>6</v>
      </c>
      <c r="B12">
        <f t="shared" si="0"/>
        <v>1</v>
      </c>
      <c r="C12">
        <f t="shared" si="1"/>
        <v>0.57735026918962584</v>
      </c>
      <c r="D12">
        <f t="shared" si="2"/>
        <v>1.7813121741108027</v>
      </c>
      <c r="E12">
        <f t="shared" si="3"/>
        <v>0.23027169752542592</v>
      </c>
    </row>
    <row r="13" spans="1:11" x14ac:dyDescent="0.35">
      <c r="D13">
        <f>SUM(D9:D12)</f>
        <v>7.73569740985696</v>
      </c>
      <c r="E13">
        <f>SUM(E9:E12)</f>
        <v>1</v>
      </c>
    </row>
    <row r="15" spans="1:11" x14ac:dyDescent="0.35">
      <c r="A15" t="s">
        <v>47</v>
      </c>
      <c r="B15" t="s">
        <v>36</v>
      </c>
      <c r="C15" t="s">
        <v>37</v>
      </c>
      <c r="D15" t="s">
        <v>38</v>
      </c>
    </row>
    <row r="16" spans="1:11" x14ac:dyDescent="0.35">
      <c r="B16">
        <f>SUMPRODUCT($E$9:$E$12, I4:I7)</f>
        <v>0.82008591937022435</v>
      </c>
      <c r="C16">
        <f>SUMPRODUCT($E$9:$E$12, J4:J7)</f>
        <v>1.5111866488866808</v>
      </c>
      <c r="D16">
        <f>SUMPRODUCT($E$9:$E$12, K4:K7)</f>
        <v>1.3595425243193724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2026-01-19T08:08:27Z</dcterms:created>
  <dcterms:modified xsi:type="dcterms:W3CDTF">2026-01-19T08:45:06Z</dcterms:modified>
</cp:coreProperties>
</file>